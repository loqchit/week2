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G:\Download\"/>
    </mc:Choice>
  </mc:AlternateContent>
  <xr:revisionPtr revIDLastSave="0" documentId="13_ncr:1_{78B4EAB9-DAAD-4662-8261-6C293F24EFBD}" xr6:coauthVersionLast="47" xr6:coauthVersionMax="47" xr10:uidLastSave="{00000000-0000-0000-0000-000000000000}"/>
  <bookViews>
    <workbookView xWindow="-120" yWindow="-120" windowWidth="29040" windowHeight="15720" xr2:uid="{87523758-51D3-4B71-A840-3559F5262109}"/>
  </bookViews>
  <sheets>
    <sheet name="Nhóm 64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5" i="2" l="1"/>
  <c r="H5" i="2"/>
  <c r="L5" i="2"/>
  <c r="N5" i="2"/>
  <c r="O5" i="2"/>
  <c r="H6" i="2"/>
  <c r="J6" i="2"/>
  <c r="L6" i="2"/>
  <c r="N6" i="2"/>
  <c r="O6" i="2"/>
  <c r="H7" i="2"/>
  <c r="J7" i="2"/>
  <c r="L7" i="2"/>
  <c r="N7" i="2"/>
  <c r="H8" i="2"/>
  <c r="J8" i="2"/>
  <c r="L8" i="2"/>
  <c r="N8" i="2"/>
  <c r="O8" i="2"/>
  <c r="H9" i="2"/>
  <c r="J9" i="2"/>
  <c r="L9" i="2"/>
  <c r="N9" i="2"/>
  <c r="H10" i="2"/>
  <c r="O10" i="2" s="1"/>
  <c r="J10" i="2"/>
  <c r="L10" i="2"/>
  <c r="N10" i="2"/>
  <c r="H11" i="2"/>
  <c r="J11" i="2"/>
  <c r="L11" i="2"/>
  <c r="N11" i="2"/>
  <c r="O11" i="2"/>
  <c r="H12" i="2"/>
  <c r="J12" i="2"/>
  <c r="L12" i="2"/>
  <c r="N12" i="2"/>
  <c r="H13" i="2"/>
  <c r="J13" i="2"/>
  <c r="L13" i="2"/>
  <c r="O13" i="2" s="1"/>
  <c r="N13" i="2"/>
  <c r="H14" i="2"/>
  <c r="J14" i="2"/>
  <c r="L14" i="2"/>
  <c r="N14" i="2"/>
  <c r="H15" i="2"/>
  <c r="O15" i="2" s="1"/>
  <c r="J15" i="2"/>
  <c r="L15" i="2"/>
  <c r="N15" i="2"/>
  <c r="H16" i="2"/>
  <c r="O16" i="2" s="1"/>
  <c r="J16" i="2"/>
  <c r="L16" i="2"/>
  <c r="N16" i="2"/>
  <c r="H17" i="2"/>
  <c r="J17" i="2"/>
  <c r="L17" i="2"/>
  <c r="N17" i="2"/>
  <c r="O17" i="2"/>
  <c r="H18" i="2"/>
  <c r="J18" i="2"/>
  <c r="L18" i="2"/>
  <c r="O18" i="2" s="1"/>
  <c r="N18" i="2"/>
  <c r="H19" i="2"/>
  <c r="J19" i="2"/>
  <c r="L19" i="2"/>
  <c r="N19" i="2"/>
  <c r="H20" i="2"/>
  <c r="J20" i="2"/>
  <c r="L20" i="2"/>
  <c r="N20" i="2"/>
  <c r="H21" i="2"/>
  <c r="J21" i="2"/>
  <c r="L21" i="2"/>
  <c r="N21" i="2"/>
  <c r="H22" i="2"/>
  <c r="J22" i="2"/>
  <c r="L22" i="2"/>
  <c r="N22" i="2"/>
  <c r="H23" i="2"/>
  <c r="O23" i="2" s="1"/>
  <c r="J23" i="2"/>
  <c r="L23" i="2"/>
  <c r="N23" i="2"/>
  <c r="H24" i="2"/>
  <c r="J24" i="2"/>
  <c r="L24" i="2"/>
  <c r="N24" i="2"/>
  <c r="H25" i="2"/>
  <c r="J25" i="2"/>
  <c r="L25" i="2"/>
  <c r="N25" i="2"/>
  <c r="H26" i="2"/>
  <c r="J26" i="2"/>
  <c r="L26" i="2"/>
  <c r="N26" i="2"/>
  <c r="H27" i="2"/>
  <c r="J27" i="2"/>
  <c r="L27" i="2"/>
  <c r="N27" i="2"/>
  <c r="H28" i="2"/>
  <c r="J28" i="2"/>
  <c r="L28" i="2"/>
  <c r="N28" i="2"/>
  <c r="H29" i="2"/>
  <c r="J29" i="2"/>
  <c r="L29" i="2"/>
  <c r="N29" i="2"/>
  <c r="H30" i="2"/>
  <c r="J30" i="2"/>
  <c r="L30" i="2"/>
  <c r="N30" i="2"/>
  <c r="H31" i="2"/>
  <c r="J31" i="2"/>
  <c r="L31" i="2"/>
  <c r="N31" i="2"/>
  <c r="H32" i="2"/>
  <c r="J32" i="2"/>
  <c r="L32" i="2"/>
  <c r="N32" i="2"/>
  <c r="O32" i="2"/>
  <c r="H33" i="2"/>
  <c r="J33" i="2"/>
  <c r="L33" i="2"/>
  <c r="N33" i="2"/>
  <c r="H34" i="2"/>
  <c r="J34" i="2"/>
  <c r="L34" i="2"/>
  <c r="N34" i="2"/>
  <c r="H35" i="2"/>
  <c r="J35" i="2"/>
  <c r="L35" i="2"/>
  <c r="N35" i="2"/>
  <c r="O35" i="2"/>
  <c r="H36" i="2"/>
  <c r="O36" i="2" s="1"/>
  <c r="J36" i="2"/>
  <c r="L36" i="2"/>
  <c r="N36" i="2"/>
  <c r="H37" i="2"/>
  <c r="J37" i="2"/>
  <c r="L37" i="2"/>
  <c r="N37" i="2"/>
  <c r="O37" i="2"/>
  <c r="H38" i="2"/>
  <c r="J38" i="2"/>
  <c r="L38" i="2"/>
  <c r="N38" i="2"/>
  <c r="H39" i="2"/>
  <c r="J39" i="2"/>
  <c r="L39" i="2"/>
  <c r="N39" i="2"/>
  <c r="H40" i="2"/>
  <c r="J40" i="2"/>
  <c r="L40" i="2"/>
  <c r="N40" i="2"/>
  <c r="O40" i="2"/>
  <c r="H41" i="2"/>
  <c r="O41" i="2" s="1"/>
  <c r="J41" i="2"/>
  <c r="L41" i="2"/>
  <c r="N41" i="2"/>
  <c r="H42" i="2"/>
  <c r="J42" i="2"/>
  <c r="L42" i="2"/>
  <c r="N42" i="2"/>
  <c r="O42" i="2"/>
  <c r="H43" i="2"/>
  <c r="J43" i="2"/>
  <c r="L43" i="2"/>
  <c r="N43" i="2"/>
  <c r="H44" i="2"/>
  <c r="O44" i="2" s="1"/>
  <c r="J44" i="2"/>
  <c r="L44" i="2"/>
  <c r="N44" i="2"/>
  <c r="H45" i="2"/>
  <c r="J45" i="2"/>
  <c r="L45" i="2"/>
  <c r="N45" i="2"/>
  <c r="O22" i="2" l="1"/>
  <c r="O29" i="2"/>
  <c r="O28" i="2"/>
  <c r="O21" i="2"/>
  <c r="O39" i="2"/>
  <c r="O25" i="2"/>
  <c r="O34" i="2"/>
  <c r="O30" i="2"/>
  <c r="O20" i="2"/>
  <c r="O43" i="2"/>
  <c r="O9" i="2"/>
  <c r="O7" i="2"/>
  <c r="O45" i="2"/>
  <c r="O19" i="2"/>
  <c r="O14" i="2"/>
  <c r="O33" i="2"/>
  <c r="O24" i="2"/>
  <c r="O38" i="2"/>
  <c r="O27" i="2"/>
  <c r="O12" i="2"/>
  <c r="O26" i="2"/>
  <c r="O31" i="2"/>
  <c r="M52" i="2" l="1"/>
  <c r="O52" i="2"/>
  <c r="N52" i="2"/>
</calcChain>
</file>

<file path=xl/sharedStrings.xml><?xml version="1.0" encoding="utf-8"?>
<sst xmlns="http://schemas.openxmlformats.org/spreadsheetml/2006/main" count="188" uniqueCount="92">
  <si>
    <t>Không đạt</t>
  </si>
  <si>
    <t xml:space="preserve">Đạt </t>
  </si>
  <si>
    <t>Tốt</t>
  </si>
  <si>
    <t>D24CQCE04-B</t>
  </si>
  <si>
    <t>Việt</t>
  </si>
  <si>
    <t>Trần Quốc</t>
  </si>
  <si>
    <t>Tùng</t>
  </si>
  <si>
    <t>Nguyễn Hoàng</t>
  </si>
  <si>
    <t>Tú</t>
  </si>
  <si>
    <t>Trần Anh</t>
  </si>
  <si>
    <t>Trang</t>
  </si>
  <si>
    <t>Nghiêm Đặng Thùy</t>
  </si>
  <si>
    <t>Tiến</t>
  </si>
  <si>
    <t>Dương Xuân</t>
  </si>
  <si>
    <t>Thắng</t>
  </si>
  <si>
    <t>Phạm Thế</t>
  </si>
  <si>
    <t>Thảo</t>
  </si>
  <si>
    <t>Trần Thị Thanh</t>
  </si>
  <si>
    <t>Sơn</t>
  </si>
  <si>
    <t>Trần Xuân</t>
  </si>
  <si>
    <t>Sang</t>
  </si>
  <si>
    <t>Đỗ Văn</t>
  </si>
  <si>
    <t>Quân</t>
  </si>
  <si>
    <t>Hoàng Anh</t>
  </si>
  <si>
    <t>Phúc</t>
  </si>
  <si>
    <t>Phong</t>
  </si>
  <si>
    <t>Đinh Hải</t>
  </si>
  <si>
    <t>Ngọc</t>
  </si>
  <si>
    <t>Đào Bích</t>
  </si>
  <si>
    <t>Minh</t>
  </si>
  <si>
    <t>Vũ Nhật</t>
  </si>
  <si>
    <t>Phạm Quang</t>
  </si>
  <si>
    <t>Hoàng Tuấn</t>
  </si>
  <si>
    <t>Mạnh</t>
  </si>
  <si>
    <t>Nguyễn Đàm</t>
  </si>
  <si>
    <t>Long</t>
  </si>
  <si>
    <t>Nguyễn Hải Hoàng</t>
  </si>
  <si>
    <t>Lâm</t>
  </si>
  <si>
    <t>Đào Tùng</t>
  </si>
  <si>
    <t>Khôi</t>
  </si>
  <si>
    <t>Nguyễn Trọng</t>
  </si>
  <si>
    <t>Khánh</t>
  </si>
  <si>
    <t>Quách Duy</t>
  </si>
  <si>
    <t>Khang</t>
  </si>
  <si>
    <t>Bùi Minh</t>
  </si>
  <si>
    <t>Hương</t>
  </si>
  <si>
    <t>Nguyễn Thị Thanh</t>
  </si>
  <si>
    <t>Huy</t>
  </si>
  <si>
    <t>Nguyễn Văn</t>
  </si>
  <si>
    <t>Hùng</t>
  </si>
  <si>
    <t>Nguyễn Việt</t>
  </si>
  <si>
    <t>Huệ</t>
  </si>
  <si>
    <t>Trần Thị Kim</t>
  </si>
  <si>
    <t>Hoàng</t>
  </si>
  <si>
    <t>Nguyễn Trường Bảo</t>
  </si>
  <si>
    <t>Hiếu</t>
  </si>
  <si>
    <t>Hiệp</t>
  </si>
  <si>
    <t>Giang</t>
  </si>
  <si>
    <t>Nguyễn Đức</t>
  </si>
  <si>
    <t>Đức</t>
  </si>
  <si>
    <t>Trần Thành</t>
  </si>
  <si>
    <t>Nguyễn Bá Minh</t>
  </si>
  <si>
    <t>Đăng</t>
  </si>
  <si>
    <t>Vũ Hải</t>
  </si>
  <si>
    <t>Duy</t>
  </si>
  <si>
    <t>Lại Nguyễn Lê</t>
  </si>
  <si>
    <t>Dũng</t>
  </si>
  <si>
    <t>Nguyễn Trí</t>
  </si>
  <si>
    <t>Diễn</t>
  </si>
  <si>
    <t>Lương Ngọc</t>
  </si>
  <si>
    <t>Bình</t>
  </si>
  <si>
    <t>Đặng Thái</t>
  </si>
  <si>
    <t>Bách</t>
  </si>
  <si>
    <t>Anh</t>
  </si>
  <si>
    <t>Lưu Thiện Việt</t>
  </si>
  <si>
    <t>An</t>
  </si>
  <si>
    <t>Nguyễn Thái</t>
  </si>
  <si>
    <t>Kết quả</t>
  </si>
  <si>
    <t>Thành tích</t>
  </si>
  <si>
    <t>Nữ</t>
  </si>
  <si>
    <t>Nam</t>
  </si>
  <si>
    <t>5 Phút tùy sức</t>
  </si>
  <si>
    <t>30m XPC</t>
  </si>
  <si>
    <t>4x10m</t>
  </si>
  <si>
    <t>BXTC</t>
  </si>
  <si>
    <t>Giới tính</t>
  </si>
  <si>
    <t>Tên lớp</t>
  </si>
  <si>
    <t>Tên</t>
  </si>
  <si>
    <t>Họ lót</t>
  </si>
  <si>
    <t>Stt</t>
  </si>
  <si>
    <r>
      <rPr>
        <b/>
        <sz val="13"/>
        <color theme="1"/>
        <rFont val="Times New Roman"/>
        <family val="1"/>
      </rPr>
      <t xml:space="preserve">BỘ MÔN GIÁO DỤC THỂ CHẤT
</t>
    </r>
    <r>
      <rPr>
        <sz val="13"/>
        <color theme="1"/>
        <rFont val="Times New Roman"/>
        <family val="1"/>
      </rPr>
      <t xml:space="preserve">NHÓM 64  KÍP 4 THỨ 7  </t>
    </r>
    <r>
      <rPr>
        <b/>
        <sz val="13"/>
        <color theme="1"/>
        <rFont val="Times New Roman"/>
        <family val="1"/>
      </rPr>
      <t xml:space="preserve">
KẾT QUẢ ĐÁNH GIÁ THỂ LỰC SINH VIÊN THEO QUYẾT ĐỊNH 53/2008 BGD&amp;ĐT</t>
    </r>
    <r>
      <rPr>
        <sz val="13"/>
        <color theme="1"/>
        <rFont val="Times New Roman"/>
        <family val="1"/>
      </rPr>
      <t xml:space="preserve">
</t>
    </r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</si>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</sst>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sz val="13"/>
      <color rgb="FF212529"/>
      <name val="Times New Roman"/>
      <family val="1"/>
    </font>
    <font>
      <b/>
      <sz val="13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2" fillId="0" borderId="1" xfId="0" applyFont="1" applyBorder="1" applyAlignment="1">
      <alignment vertical="top" wrapText="1"/>
    </xf>
    <xf numFmtId="0" fontId="2" fillId="0" borderId="1" xfId="0" applyFont="1" applyBorder="1" applyAlignment="1">
      <alignment horizontal="center" vertical="top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3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E85DE-5E27-4C28-A0E0-24AA91B8B87D}">
  <dimension ref="A2:O52"/>
  <sheetViews>
    <sheetView tabSelected="1" topLeftCell="A19" zoomScaleNormal="100" workbookViewId="0">
      <selection activeCell="L29" sqref="L29"/>
    </sheetView>
  </sheetViews>
  <sheetFormatPr defaultColWidth="8.85546875" defaultRowHeight="16.5" x14ac:dyDescent="0.25"/>
  <cols>
    <col min="1" max="1" width="4.140625" style="1" customWidth="1"/>
    <col min="2" max="2" width="21.28515625" style="1" customWidth="1"/>
    <col min="3" max="3" width="7.7109375" style="1" bestFit="1" customWidth="1"/>
    <col min="4" max="4" width="16.7109375" style="1" bestFit="1" customWidth="1"/>
    <col min="5" max="5" width="6" style="2" bestFit="1" customWidth="1"/>
    <col min="6" max="6" width="4.28515625" style="2" bestFit="1" customWidth="1"/>
    <col min="7" max="7" width="8.85546875" style="2"/>
    <col min="8" max="8" width="11.28515625" style="2" bestFit="1" customWidth="1"/>
    <col min="9" max="9" width="8.85546875" style="2"/>
    <col min="10" max="10" width="11.28515625" style="2" bestFit="1" customWidth="1"/>
    <col min="11" max="11" width="8.85546875" style="2"/>
    <col min="12" max="12" width="11.28515625" style="2" bestFit="1" customWidth="1"/>
    <col min="13" max="13" width="8.85546875" style="2"/>
    <col min="14" max="15" width="11.28515625" style="2" bestFit="1" customWidth="1"/>
    <col min="16" max="16384" width="8.85546875" style="1"/>
  </cols>
  <sheetData>
    <row r="2" spans="1:15" ht="67.150000000000006" customHeight="1" x14ac:dyDescent="0.25">
      <c r="A2" s="10" t="s">
        <v>90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1"/>
    </row>
    <row r="3" spans="1:15" x14ac:dyDescent="0.25">
      <c r="A3" s="12" t="s">
        <v>89</v>
      </c>
      <c r="B3" s="12" t="s">
        <v>88</v>
      </c>
      <c r="C3" s="12" t="s">
        <v>87</v>
      </c>
      <c r="D3" s="12" t="s">
        <v>86</v>
      </c>
      <c r="E3" s="9" t="s">
        <v>85</v>
      </c>
      <c r="F3" s="9"/>
      <c r="G3" s="9" t="s">
        <v>84</v>
      </c>
      <c r="H3" s="9"/>
      <c r="I3" s="9" t="s">
        <v>83</v>
      </c>
      <c r="J3" s="9"/>
      <c r="K3" s="9" t="s">
        <v>82</v>
      </c>
      <c r="L3" s="9"/>
      <c r="M3" s="9" t="s">
        <v>81</v>
      </c>
      <c r="N3" s="9"/>
      <c r="O3" s="9" t="s">
        <v>77</v>
      </c>
    </row>
    <row r="4" spans="1:15" ht="33" x14ac:dyDescent="0.25">
      <c r="A4" s="12"/>
      <c r="B4" s="12"/>
      <c r="C4" s="12"/>
      <c r="D4" s="12"/>
      <c r="E4" s="7" t="s">
        <v>80</v>
      </c>
      <c r="F4" s="7" t="s">
        <v>79</v>
      </c>
      <c r="G4" s="8" t="s">
        <v>78</v>
      </c>
      <c r="H4" s="8" t="s">
        <v>77</v>
      </c>
      <c r="I4" s="8" t="s">
        <v>78</v>
      </c>
      <c r="J4" s="8" t="s">
        <v>77</v>
      </c>
      <c r="K4" s="8" t="s">
        <v>78</v>
      </c>
      <c r="L4" s="8" t="s">
        <v>77</v>
      </c>
      <c r="M4" s="8" t="s">
        <v>78</v>
      </c>
      <c r="N4" s="8" t="s">
        <v>77</v>
      </c>
      <c r="O4" s="9"/>
    </row>
    <row r="5" spans="1:15" ht="20.45" customHeight="1" x14ac:dyDescent="0.25">
      <c r="A5" s="6">
        <v>1</v>
      </c>
      <c r="B5" s="5" t="s">
        <v>76</v>
      </c>
      <c r="C5" s="5" t="s">
        <v>75</v>
      </c>
      <c r="D5" s="5" t="s">
        <v>3</v>
      </c>
      <c r="E5" s="3" t="s">
        <v>91</v>
      </c>
      <c r="F5" s="3"/>
      <c r="G5" s="3">
        <v>215</v>
      </c>
      <c r="H5" s="3" t="str">
        <f>IF(E5="x",IF(G5&gt;=222,"Tốt",IF(AND(G5&gt;=205,G5&lt;222),"Đạt","Không đạt")),IF(G5&gt;=168,"Tốt",IF(AND(G5&gt;=151,G5&lt;168),"Đạt","Không đạt")))</f>
        <v>Đạt</v>
      </c>
      <c r="I5" s="3">
        <v>10.98</v>
      </c>
      <c r="J5" s="3" t="str">
        <f>IF(E5="x",IF(I5&lt;11.8,"Tốt",IF(AND(I5&gt;=11.8,I5&lt;12.5),"Đạt","Không đạt")),IF(I5&lt;12.1,"Tốt",IF(AND(I5&gt;=12.1,I5&lt;13.1),"Đạt","Không đạt")))</f>
        <v>Tốt</v>
      </c>
      <c r="K5" s="3">
        <v>4.8499999999999996</v>
      </c>
      <c r="L5" s="3" t="str">
        <f t="shared" ref="L5:L45" si="0">IF(E5="x",IF(K5&lt;=4.8,"Tốt",IF(AND(K5&gt;4.8, K5&lt;=5.8), "Đạt", "Không đạt")),IF(K5 &lt;=5.8, "Tốt", IF(AND(K5 &gt; 5.8, K5 &lt;= 6.8), "Đạt", "Không đạt")))</f>
        <v>Đạt</v>
      </c>
      <c r="M5" s="3"/>
      <c r="N5" s="3" t="str">
        <f t="shared" ref="N5:N45" si="1">IF(E5="x",IF(M5&gt;1050,"Tốt",IF(AND(M5&lt;=1050,M5&gt;=940),"Đạt","Không đạt")),IF(M5&gt;930,"Tốt",IF(AND(M5&lt;=930,M5&gt;=850),"Đạt","Không đạt")))</f>
        <v>Không đạt</v>
      </c>
      <c r="O5" s="3" t="str">
        <f t="shared" ref="O5:O45" si="2">IF(COUNTIF(H5:N5, "Không đạt") &gt; 0, "Chưa đạt", IF(COUNTIF(H5:N5, "Tốt") = 3, "Tốt", IF(COUNTIF(H5:N5, "Tốt") &lt; 3, "Đạt", "")))</f>
        <v>Chưa đạt</v>
      </c>
    </row>
    <row r="6" spans="1:15" ht="20.45" customHeight="1" x14ac:dyDescent="0.25">
      <c r="A6" s="6">
        <v>2</v>
      </c>
      <c r="B6" s="5" t="s">
        <v>74</v>
      </c>
      <c r="C6" s="5" t="s">
        <v>73</v>
      </c>
      <c r="D6" s="5" t="s">
        <v>3</v>
      </c>
      <c r="E6" s="3" t="s">
        <v>91</v>
      </c>
      <c r="F6" s="3"/>
      <c r="G6" s="3">
        <v>190</v>
      </c>
      <c r="H6" s="3" t="str">
        <f t="shared" ref="H6:H45" si="3">IF(E6="x",IF(G6&gt;=222,"Tốt",IF(AND(G6&gt;=205,G6&lt;222),"Đạt","Không đạt")),IF(G6&gt;=168,"Tốt",IF(AND(G6&gt;=151,G6&lt;168),"Đạt","Không đạt")))</f>
        <v>Không đạt</v>
      </c>
      <c r="I6" s="3">
        <v>11.32</v>
      </c>
      <c r="J6" s="3" t="str">
        <f t="shared" ref="J6:J45" si="4">IF(E6="x",IF(I6&lt;11.8,"Tốt",IF(AND(I6&gt;=11.8,I6&lt;12.5),"Đạt","Không đạt")),IF(I6&lt;12.1,"Tốt",IF(AND(I6&gt;=12.1,I6&lt;13.1),"Đạt","Không đạt")))</f>
        <v>Tốt</v>
      </c>
      <c r="K6" s="3">
        <v>5.07</v>
      </c>
      <c r="L6" s="3" t="str">
        <f t="shared" si="0"/>
        <v>Đạt</v>
      </c>
      <c r="M6" s="3">
        <v>1067</v>
      </c>
      <c r="N6" s="3" t="str">
        <f t="shared" si="1"/>
        <v>Tốt</v>
      </c>
      <c r="O6" s="3" t="str">
        <f t="shared" si="2"/>
        <v>Chưa đạt</v>
      </c>
    </row>
    <row r="7" spans="1:15" ht="20.45" customHeight="1" x14ac:dyDescent="0.25">
      <c r="A7" s="6">
        <v>3</v>
      </c>
      <c r="B7" s="5" t="s">
        <v>50</v>
      </c>
      <c r="C7" s="5" t="s">
        <v>73</v>
      </c>
      <c r="D7" s="5" t="s">
        <v>3</v>
      </c>
      <c r="E7" s="3" t="s">
        <v>91</v>
      </c>
      <c r="F7" s="3"/>
      <c r="G7" s="3">
        <v>196</v>
      </c>
      <c r="H7" s="3" t="str">
        <f t="shared" si="3"/>
        <v>Không đạt</v>
      </c>
      <c r="I7" s="3">
        <v>10.85</v>
      </c>
      <c r="J7" s="3" t="str">
        <f t="shared" si="4"/>
        <v>Tốt</v>
      </c>
      <c r="K7" s="3">
        <v>4.9400000000000004</v>
      </c>
      <c r="L7" s="3" t="str">
        <f t="shared" si="0"/>
        <v>Đạt</v>
      </c>
      <c r="M7" s="3">
        <v>1142</v>
      </c>
      <c r="N7" s="3" t="str">
        <f t="shared" si="1"/>
        <v>Tốt</v>
      </c>
      <c r="O7" s="3" t="str">
        <f t="shared" si="2"/>
        <v>Chưa đạt</v>
      </c>
    </row>
    <row r="8" spans="1:15" ht="20.45" customHeight="1" x14ac:dyDescent="0.25">
      <c r="A8" s="6">
        <v>4</v>
      </c>
      <c r="B8" s="5" t="s">
        <v>19</v>
      </c>
      <c r="C8" s="5" t="s">
        <v>72</v>
      </c>
      <c r="D8" s="5" t="s">
        <v>3</v>
      </c>
      <c r="E8" s="3" t="s">
        <v>91</v>
      </c>
      <c r="F8" s="3"/>
      <c r="G8" s="3">
        <v>230</v>
      </c>
      <c r="H8" s="3" t="str">
        <f t="shared" si="3"/>
        <v>Tốt</v>
      </c>
      <c r="I8" s="3">
        <v>10.75</v>
      </c>
      <c r="J8" s="3" t="str">
        <f t="shared" si="4"/>
        <v>Tốt</v>
      </c>
      <c r="K8" s="3">
        <v>4.01</v>
      </c>
      <c r="L8" s="3" t="str">
        <f t="shared" si="0"/>
        <v>Tốt</v>
      </c>
      <c r="M8" s="3">
        <v>980</v>
      </c>
      <c r="N8" s="3" t="str">
        <f t="shared" si="1"/>
        <v>Đạt</v>
      </c>
      <c r="O8" s="3" t="str">
        <f t="shared" si="2"/>
        <v>Tốt</v>
      </c>
    </row>
    <row r="9" spans="1:15" ht="20.45" customHeight="1" x14ac:dyDescent="0.25">
      <c r="A9" s="6">
        <v>5</v>
      </c>
      <c r="B9" s="5" t="s">
        <v>71</v>
      </c>
      <c r="C9" s="5" t="s">
        <v>70</v>
      </c>
      <c r="D9" s="5" t="s">
        <v>3</v>
      </c>
      <c r="E9" s="3" t="s">
        <v>91</v>
      </c>
      <c r="F9" s="3"/>
      <c r="G9" s="3">
        <v>162</v>
      </c>
      <c r="H9" s="3" t="str">
        <f t="shared" si="3"/>
        <v>Không đạt</v>
      </c>
      <c r="I9" s="3">
        <v>11.87</v>
      </c>
      <c r="J9" s="3" t="str">
        <f t="shared" si="4"/>
        <v>Đạt</v>
      </c>
      <c r="K9" s="3">
        <v>5.79</v>
      </c>
      <c r="L9" s="3" t="str">
        <f t="shared" si="0"/>
        <v>Đạt</v>
      </c>
      <c r="M9" s="3">
        <v>1191</v>
      </c>
      <c r="N9" s="3" t="str">
        <f t="shared" si="1"/>
        <v>Tốt</v>
      </c>
      <c r="O9" s="3" t="str">
        <f t="shared" si="2"/>
        <v>Chưa đạt</v>
      </c>
    </row>
    <row r="10" spans="1:15" ht="20.45" customHeight="1" x14ac:dyDescent="0.25">
      <c r="A10" s="6">
        <v>6</v>
      </c>
      <c r="B10" s="5" t="s">
        <v>69</v>
      </c>
      <c r="C10" s="5" t="s">
        <v>68</v>
      </c>
      <c r="D10" s="5" t="s">
        <v>3</v>
      </c>
      <c r="E10" s="3" t="s">
        <v>91</v>
      </c>
      <c r="F10" s="3"/>
      <c r="G10" s="3">
        <v>196</v>
      </c>
      <c r="H10" s="3" t="str">
        <f t="shared" si="3"/>
        <v>Không đạt</v>
      </c>
      <c r="I10" s="3">
        <v>11.5</v>
      </c>
      <c r="J10" s="3" t="str">
        <f t="shared" si="4"/>
        <v>Tốt</v>
      </c>
      <c r="K10" s="3">
        <v>4.9400000000000004</v>
      </c>
      <c r="L10" s="3" t="str">
        <f t="shared" si="0"/>
        <v>Đạt</v>
      </c>
      <c r="M10" s="3">
        <v>993</v>
      </c>
      <c r="N10" s="3" t="str">
        <f t="shared" si="1"/>
        <v>Đạt</v>
      </c>
      <c r="O10" s="3" t="str">
        <f t="shared" si="2"/>
        <v>Chưa đạt</v>
      </c>
    </row>
    <row r="11" spans="1:15" ht="20.45" customHeight="1" x14ac:dyDescent="0.25">
      <c r="A11" s="6">
        <v>7</v>
      </c>
      <c r="B11" s="5" t="s">
        <v>67</v>
      </c>
      <c r="C11" s="5" t="s">
        <v>66</v>
      </c>
      <c r="D11" s="5" t="s">
        <v>3</v>
      </c>
      <c r="E11" s="3" t="s">
        <v>91</v>
      </c>
      <c r="F11" s="3"/>
      <c r="G11" s="3">
        <v>177</v>
      </c>
      <c r="H11" s="3" t="str">
        <f t="shared" si="3"/>
        <v>Không đạt</v>
      </c>
      <c r="I11" s="3">
        <v>11.63</v>
      </c>
      <c r="J11" s="3" t="str">
        <f t="shared" si="4"/>
        <v>Tốt</v>
      </c>
      <c r="K11" s="3">
        <v>5.13</v>
      </c>
      <c r="L11" s="3" t="str">
        <f t="shared" si="0"/>
        <v>Đạt</v>
      </c>
      <c r="M11" s="3">
        <v>1177</v>
      </c>
      <c r="N11" s="3" t="str">
        <f t="shared" si="1"/>
        <v>Tốt</v>
      </c>
      <c r="O11" s="3" t="str">
        <f t="shared" si="2"/>
        <v>Chưa đạt</v>
      </c>
    </row>
    <row r="12" spans="1:15" ht="20.45" customHeight="1" x14ac:dyDescent="0.25">
      <c r="A12" s="6">
        <v>8</v>
      </c>
      <c r="B12" s="5" t="s">
        <v>65</v>
      </c>
      <c r="C12" s="5" t="s">
        <v>64</v>
      </c>
      <c r="D12" s="5" t="s">
        <v>3</v>
      </c>
      <c r="E12" s="3" t="s">
        <v>91</v>
      </c>
      <c r="F12" s="3"/>
      <c r="G12" s="3">
        <v>197</v>
      </c>
      <c r="H12" s="3" t="str">
        <f t="shared" si="3"/>
        <v>Không đạt</v>
      </c>
      <c r="I12" s="3">
        <v>11.45</v>
      </c>
      <c r="J12" s="3" t="str">
        <f t="shared" si="4"/>
        <v>Tốt</v>
      </c>
      <c r="K12" s="3">
        <v>5.32</v>
      </c>
      <c r="L12" s="3" t="str">
        <f t="shared" si="0"/>
        <v>Đạt</v>
      </c>
      <c r="M12" s="3">
        <v>1024</v>
      </c>
      <c r="N12" s="3" t="str">
        <f t="shared" si="1"/>
        <v>Đạt</v>
      </c>
      <c r="O12" s="3" t="str">
        <f t="shared" si="2"/>
        <v>Chưa đạt</v>
      </c>
    </row>
    <row r="13" spans="1:15" ht="20.45" customHeight="1" x14ac:dyDescent="0.25">
      <c r="A13" s="6">
        <v>9</v>
      </c>
      <c r="B13" s="5" t="s">
        <v>63</v>
      </c>
      <c r="C13" s="5" t="s">
        <v>62</v>
      </c>
      <c r="D13" s="5" t="s">
        <v>3</v>
      </c>
      <c r="E13" s="3" t="s">
        <v>91</v>
      </c>
      <c r="F13" s="3"/>
      <c r="G13" s="3">
        <v>215</v>
      </c>
      <c r="H13" s="3" t="str">
        <f t="shared" si="3"/>
        <v>Đạt</v>
      </c>
      <c r="I13" s="3">
        <v>11.07</v>
      </c>
      <c r="J13" s="3" t="str">
        <f t="shared" si="4"/>
        <v>Tốt</v>
      </c>
      <c r="K13" s="3">
        <v>5.07</v>
      </c>
      <c r="L13" s="3" t="str">
        <f t="shared" si="0"/>
        <v>Đạt</v>
      </c>
      <c r="M13" s="3">
        <v>1085</v>
      </c>
      <c r="N13" s="3" t="str">
        <f t="shared" si="1"/>
        <v>Tốt</v>
      </c>
      <c r="O13" s="3" t="str">
        <f t="shared" si="2"/>
        <v>Đạt</v>
      </c>
    </row>
    <row r="14" spans="1:15" ht="20.45" customHeight="1" x14ac:dyDescent="0.25">
      <c r="A14" s="6">
        <v>10</v>
      </c>
      <c r="B14" s="5" t="s">
        <v>61</v>
      </c>
      <c r="C14" s="5" t="s">
        <v>59</v>
      </c>
      <c r="D14" s="5" t="s">
        <v>3</v>
      </c>
      <c r="E14" s="3" t="s">
        <v>91</v>
      </c>
      <c r="F14" s="3"/>
      <c r="G14" s="3">
        <v>168</v>
      </c>
      <c r="H14" s="3" t="str">
        <f t="shared" si="3"/>
        <v>Không đạt</v>
      </c>
      <c r="I14" s="3">
        <v>12.07</v>
      </c>
      <c r="J14" s="3" t="str">
        <f t="shared" si="4"/>
        <v>Đạt</v>
      </c>
      <c r="K14" s="3">
        <v>5.2</v>
      </c>
      <c r="L14" s="3" t="str">
        <f t="shared" si="0"/>
        <v>Đạt</v>
      </c>
      <c r="M14" s="3">
        <v>966</v>
      </c>
      <c r="N14" s="3" t="str">
        <f t="shared" si="1"/>
        <v>Đạt</v>
      </c>
      <c r="O14" s="3" t="str">
        <f t="shared" si="2"/>
        <v>Chưa đạt</v>
      </c>
    </row>
    <row r="15" spans="1:15" ht="20.45" customHeight="1" x14ac:dyDescent="0.25">
      <c r="A15" s="6">
        <v>11</v>
      </c>
      <c r="B15" s="5" t="s">
        <v>60</v>
      </c>
      <c r="C15" s="5" t="s">
        <v>59</v>
      </c>
      <c r="D15" s="5" t="s">
        <v>3</v>
      </c>
      <c r="E15" s="3" t="s">
        <v>91</v>
      </c>
      <c r="F15" s="3"/>
      <c r="G15" s="3">
        <v>210</v>
      </c>
      <c r="H15" s="3" t="str">
        <f t="shared" si="3"/>
        <v>Đạt</v>
      </c>
      <c r="I15" s="3">
        <v>10.81</v>
      </c>
      <c r="J15" s="3" t="str">
        <f t="shared" si="4"/>
        <v>Tốt</v>
      </c>
      <c r="K15" s="3">
        <v>4.87</v>
      </c>
      <c r="L15" s="3" t="str">
        <f t="shared" si="0"/>
        <v>Đạt</v>
      </c>
      <c r="M15" s="3">
        <v>1128</v>
      </c>
      <c r="N15" s="3" t="str">
        <f t="shared" si="1"/>
        <v>Tốt</v>
      </c>
      <c r="O15" s="3" t="str">
        <f t="shared" si="2"/>
        <v>Đạt</v>
      </c>
    </row>
    <row r="16" spans="1:15" ht="20.45" customHeight="1" x14ac:dyDescent="0.25">
      <c r="A16" s="6">
        <v>12</v>
      </c>
      <c r="B16" s="5" t="s">
        <v>58</v>
      </c>
      <c r="C16" s="5" t="s">
        <v>57</v>
      </c>
      <c r="D16" s="5" t="s">
        <v>3</v>
      </c>
      <c r="E16" s="3" t="s">
        <v>91</v>
      </c>
      <c r="F16" s="3"/>
      <c r="G16" s="3">
        <v>218</v>
      </c>
      <c r="H16" s="3" t="str">
        <f t="shared" si="3"/>
        <v>Đạt</v>
      </c>
      <c r="I16" s="3">
        <v>10.45</v>
      </c>
      <c r="J16" s="3" t="str">
        <f t="shared" si="4"/>
        <v>Tốt</v>
      </c>
      <c r="K16" s="3">
        <v>4.63</v>
      </c>
      <c r="L16" s="3" t="str">
        <f t="shared" si="0"/>
        <v>Tốt</v>
      </c>
      <c r="M16" s="3">
        <v>1200</v>
      </c>
      <c r="N16" s="3" t="str">
        <f t="shared" si="1"/>
        <v>Tốt</v>
      </c>
      <c r="O16" s="3" t="str">
        <f t="shared" si="2"/>
        <v>Tốt</v>
      </c>
    </row>
    <row r="17" spans="1:15" ht="20.45" customHeight="1" x14ac:dyDescent="0.25">
      <c r="A17" s="6">
        <v>13</v>
      </c>
      <c r="B17" s="5" t="s">
        <v>7</v>
      </c>
      <c r="C17" s="5" t="s">
        <v>56</v>
      </c>
      <c r="D17" s="5" t="s">
        <v>3</v>
      </c>
      <c r="E17" s="3" t="s">
        <v>91</v>
      </c>
      <c r="F17" s="3"/>
      <c r="G17" s="3">
        <v>231</v>
      </c>
      <c r="H17" s="3" t="str">
        <f t="shared" si="3"/>
        <v>Tốt</v>
      </c>
      <c r="I17" s="3">
        <v>10.26</v>
      </c>
      <c r="J17" s="3" t="str">
        <f t="shared" si="4"/>
        <v>Tốt</v>
      </c>
      <c r="K17" s="3">
        <v>4.38</v>
      </c>
      <c r="L17" s="3" t="str">
        <f t="shared" si="0"/>
        <v>Tốt</v>
      </c>
      <c r="M17" s="3">
        <v>955</v>
      </c>
      <c r="N17" s="3" t="str">
        <f t="shared" si="1"/>
        <v>Đạt</v>
      </c>
      <c r="O17" s="3" t="str">
        <f t="shared" si="2"/>
        <v>Tốt</v>
      </c>
    </row>
    <row r="18" spans="1:15" ht="20.45" customHeight="1" x14ac:dyDescent="0.25">
      <c r="A18" s="6">
        <v>14</v>
      </c>
      <c r="B18" s="5" t="s">
        <v>48</v>
      </c>
      <c r="C18" s="5" t="s">
        <v>55</v>
      </c>
      <c r="D18" s="5" t="s">
        <v>3</v>
      </c>
      <c r="E18" s="3" t="s">
        <v>91</v>
      </c>
      <c r="F18" s="3"/>
      <c r="G18" s="3">
        <v>247</v>
      </c>
      <c r="H18" s="3" t="str">
        <f t="shared" si="3"/>
        <v>Tốt</v>
      </c>
      <c r="I18" s="3">
        <v>10.63</v>
      </c>
      <c r="J18" s="3" t="str">
        <f t="shared" si="4"/>
        <v>Tốt</v>
      </c>
      <c r="K18" s="3">
        <v>4.59</v>
      </c>
      <c r="L18" s="3" t="str">
        <f t="shared" si="0"/>
        <v>Tốt</v>
      </c>
      <c r="M18" s="3"/>
      <c r="N18" s="3" t="str">
        <f t="shared" si="1"/>
        <v>Không đạt</v>
      </c>
      <c r="O18" s="3" t="str">
        <f t="shared" si="2"/>
        <v>Chưa đạt</v>
      </c>
    </row>
    <row r="19" spans="1:15" ht="20.45" customHeight="1" x14ac:dyDescent="0.25">
      <c r="A19" s="6">
        <v>15</v>
      </c>
      <c r="B19" s="5" t="s">
        <v>54</v>
      </c>
      <c r="C19" s="5" t="s">
        <v>53</v>
      </c>
      <c r="D19" s="5" t="s">
        <v>3</v>
      </c>
      <c r="E19" s="3" t="s">
        <v>91</v>
      </c>
      <c r="F19" s="3"/>
      <c r="G19" s="3">
        <v>207</v>
      </c>
      <c r="H19" s="3" t="str">
        <f t="shared" si="3"/>
        <v>Đạt</v>
      </c>
      <c r="I19" s="3">
        <v>11.38</v>
      </c>
      <c r="J19" s="3" t="str">
        <f t="shared" si="4"/>
        <v>Tốt</v>
      </c>
      <c r="K19" s="3">
        <v>4.87</v>
      </c>
      <c r="L19" s="3" t="str">
        <f t="shared" si="0"/>
        <v>Đạt</v>
      </c>
      <c r="M19" s="3">
        <v>1097</v>
      </c>
      <c r="N19" s="3" t="str">
        <f t="shared" si="1"/>
        <v>Tốt</v>
      </c>
      <c r="O19" s="3" t="str">
        <f t="shared" si="2"/>
        <v>Đạt</v>
      </c>
    </row>
    <row r="20" spans="1:15" ht="20.45" customHeight="1" x14ac:dyDescent="0.25">
      <c r="A20" s="6">
        <v>16</v>
      </c>
      <c r="B20" s="5" t="s">
        <v>52</v>
      </c>
      <c r="C20" s="5" t="s">
        <v>51</v>
      </c>
      <c r="D20" s="5" t="s">
        <v>3</v>
      </c>
      <c r="E20" s="3"/>
      <c r="F20" s="3" t="s">
        <v>91</v>
      </c>
      <c r="G20" s="3">
        <v>151</v>
      </c>
      <c r="H20" s="3" t="str">
        <f t="shared" si="3"/>
        <v>Đạt</v>
      </c>
      <c r="I20" s="3">
        <v>12.81</v>
      </c>
      <c r="J20" s="3" t="str">
        <f t="shared" si="4"/>
        <v>Đạt</v>
      </c>
      <c r="K20" s="3">
        <v>6.32</v>
      </c>
      <c r="L20" s="3" t="str">
        <f t="shared" si="0"/>
        <v>Đạt</v>
      </c>
      <c r="M20" s="3">
        <v>915</v>
      </c>
      <c r="N20" s="3" t="str">
        <f t="shared" si="1"/>
        <v>Đạt</v>
      </c>
      <c r="O20" s="3" t="str">
        <f t="shared" si="2"/>
        <v>Đạt</v>
      </c>
    </row>
    <row r="21" spans="1:15" ht="20.45" customHeight="1" x14ac:dyDescent="0.25">
      <c r="A21" s="6">
        <v>17</v>
      </c>
      <c r="B21" s="5" t="s">
        <v>50</v>
      </c>
      <c r="C21" s="5" t="s">
        <v>49</v>
      </c>
      <c r="D21" s="5" t="s">
        <v>3</v>
      </c>
      <c r="E21" s="3" t="s">
        <v>91</v>
      </c>
      <c r="F21" s="3"/>
      <c r="G21" s="3">
        <v>215</v>
      </c>
      <c r="H21" s="3" t="str">
        <f t="shared" si="3"/>
        <v>Đạt</v>
      </c>
      <c r="I21" s="3">
        <v>10.98</v>
      </c>
      <c r="J21" s="3" t="str">
        <f t="shared" si="4"/>
        <v>Tốt</v>
      </c>
      <c r="K21" s="3">
        <v>4.3600000000000003</v>
      </c>
      <c r="L21" s="3" t="str">
        <f t="shared" si="0"/>
        <v>Tốt</v>
      </c>
      <c r="M21" s="3">
        <v>1139</v>
      </c>
      <c r="N21" s="3" t="str">
        <f t="shared" si="1"/>
        <v>Tốt</v>
      </c>
      <c r="O21" s="3" t="str">
        <f t="shared" si="2"/>
        <v>Tốt</v>
      </c>
    </row>
    <row r="22" spans="1:15" ht="20.45" customHeight="1" x14ac:dyDescent="0.25">
      <c r="A22" s="6">
        <v>18</v>
      </c>
      <c r="B22" s="5" t="s">
        <v>48</v>
      </c>
      <c r="C22" s="5" t="s">
        <v>47</v>
      </c>
      <c r="D22" s="5" t="s">
        <v>3</v>
      </c>
      <c r="E22" s="3" t="s">
        <v>91</v>
      </c>
      <c r="F22" s="3"/>
      <c r="G22" s="3">
        <v>210</v>
      </c>
      <c r="H22" s="3" t="str">
        <f t="shared" si="3"/>
        <v>Đạt</v>
      </c>
      <c r="I22" s="3">
        <v>10.85</v>
      </c>
      <c r="J22" s="3" t="str">
        <f t="shared" si="4"/>
        <v>Tốt</v>
      </c>
      <c r="K22" s="3">
        <v>4.91</v>
      </c>
      <c r="L22" s="3" t="str">
        <f t="shared" si="0"/>
        <v>Đạt</v>
      </c>
      <c r="M22" s="3">
        <v>1100</v>
      </c>
      <c r="N22" s="3" t="str">
        <f t="shared" si="1"/>
        <v>Tốt</v>
      </c>
      <c r="O22" s="3" t="str">
        <f t="shared" si="2"/>
        <v>Đạt</v>
      </c>
    </row>
    <row r="23" spans="1:15" ht="20.45" customHeight="1" x14ac:dyDescent="0.25">
      <c r="A23" s="6">
        <v>19</v>
      </c>
      <c r="B23" s="5" t="s">
        <v>46</v>
      </c>
      <c r="C23" s="5" t="s">
        <v>45</v>
      </c>
      <c r="D23" s="5" t="s">
        <v>3</v>
      </c>
      <c r="E23" s="3"/>
      <c r="F23" s="3" t="s">
        <v>91</v>
      </c>
      <c r="G23" s="3">
        <v>151</v>
      </c>
      <c r="H23" s="3" t="str">
        <f t="shared" si="3"/>
        <v>Đạt</v>
      </c>
      <c r="I23" s="3">
        <v>12.83</v>
      </c>
      <c r="J23" s="3" t="str">
        <f t="shared" si="4"/>
        <v>Đạt</v>
      </c>
      <c r="K23" s="3">
        <v>6.52</v>
      </c>
      <c r="L23" s="3" t="str">
        <f t="shared" si="0"/>
        <v>Đạt</v>
      </c>
      <c r="M23" s="3">
        <v>913</v>
      </c>
      <c r="N23" s="3" t="str">
        <f t="shared" si="1"/>
        <v>Đạt</v>
      </c>
      <c r="O23" s="3" t="str">
        <f t="shared" si="2"/>
        <v>Đạt</v>
      </c>
    </row>
    <row r="24" spans="1:15" ht="20.45" customHeight="1" x14ac:dyDescent="0.25">
      <c r="A24" s="6">
        <v>20</v>
      </c>
      <c r="B24" s="5" t="s">
        <v>44</v>
      </c>
      <c r="C24" s="5" t="s">
        <v>43</v>
      </c>
      <c r="D24" s="5" t="s">
        <v>3</v>
      </c>
      <c r="E24" s="3" t="s">
        <v>91</v>
      </c>
      <c r="F24" s="3"/>
      <c r="G24" s="3">
        <v>205</v>
      </c>
      <c r="H24" s="3" t="str">
        <f t="shared" si="3"/>
        <v>Đạt</v>
      </c>
      <c r="I24" s="3">
        <v>11.01</v>
      </c>
      <c r="J24" s="3" t="str">
        <f t="shared" si="4"/>
        <v>Tốt</v>
      </c>
      <c r="K24" s="3">
        <v>4.87</v>
      </c>
      <c r="L24" s="3" t="str">
        <f t="shared" si="0"/>
        <v>Đạt</v>
      </c>
      <c r="M24" s="3">
        <v>950</v>
      </c>
      <c r="N24" s="3" t="str">
        <f t="shared" si="1"/>
        <v>Đạt</v>
      </c>
      <c r="O24" s="3" t="str">
        <f t="shared" si="2"/>
        <v>Đạt</v>
      </c>
    </row>
    <row r="25" spans="1:15" ht="20.45" customHeight="1" x14ac:dyDescent="0.25">
      <c r="A25" s="6">
        <v>21</v>
      </c>
      <c r="B25" s="5" t="s">
        <v>42</v>
      </c>
      <c r="C25" s="5" t="s">
        <v>41</v>
      </c>
      <c r="D25" s="5" t="s">
        <v>3</v>
      </c>
      <c r="E25" s="3" t="s">
        <v>91</v>
      </c>
      <c r="F25" s="3"/>
      <c r="G25" s="3">
        <v>215</v>
      </c>
      <c r="H25" s="3" t="str">
        <f t="shared" si="3"/>
        <v>Đạt</v>
      </c>
      <c r="I25" s="3">
        <v>11.07</v>
      </c>
      <c r="J25" s="3" t="str">
        <f t="shared" si="4"/>
        <v>Tốt</v>
      </c>
      <c r="K25" s="3">
        <v>5.26</v>
      </c>
      <c r="L25" s="3" t="str">
        <f t="shared" si="0"/>
        <v>Đạt</v>
      </c>
      <c r="M25" s="3">
        <v>1063</v>
      </c>
      <c r="N25" s="3" t="str">
        <f t="shared" si="1"/>
        <v>Tốt</v>
      </c>
      <c r="O25" s="3" t="str">
        <f t="shared" si="2"/>
        <v>Đạt</v>
      </c>
    </row>
    <row r="26" spans="1:15" ht="20.45" customHeight="1" x14ac:dyDescent="0.25">
      <c r="A26" s="6">
        <v>22</v>
      </c>
      <c r="B26" s="5" t="s">
        <v>40</v>
      </c>
      <c r="C26" s="5" t="s">
        <v>39</v>
      </c>
      <c r="D26" s="5" t="s">
        <v>3</v>
      </c>
      <c r="E26" s="3" t="s">
        <v>91</v>
      </c>
      <c r="F26" s="3"/>
      <c r="G26" s="3">
        <v>202</v>
      </c>
      <c r="H26" s="3" t="str">
        <f t="shared" si="3"/>
        <v>Không đạt</v>
      </c>
      <c r="I26" s="3">
        <v>10.5</v>
      </c>
      <c r="J26" s="3" t="str">
        <f t="shared" si="4"/>
        <v>Tốt</v>
      </c>
      <c r="K26" s="3">
        <v>4.8099999999999996</v>
      </c>
      <c r="L26" s="3" t="str">
        <f t="shared" si="0"/>
        <v>Đạt</v>
      </c>
      <c r="M26" s="3">
        <v>1164</v>
      </c>
      <c r="N26" s="3" t="str">
        <f t="shared" si="1"/>
        <v>Tốt</v>
      </c>
      <c r="O26" s="3" t="str">
        <f t="shared" si="2"/>
        <v>Chưa đạt</v>
      </c>
    </row>
    <row r="27" spans="1:15" ht="20.45" customHeight="1" x14ac:dyDescent="0.25">
      <c r="A27" s="6">
        <v>23</v>
      </c>
      <c r="B27" s="5" t="s">
        <v>38</v>
      </c>
      <c r="C27" s="5" t="s">
        <v>37</v>
      </c>
      <c r="D27" s="5" t="s">
        <v>3</v>
      </c>
      <c r="E27" s="3" t="s">
        <v>91</v>
      </c>
      <c r="F27" s="3"/>
      <c r="G27" s="3">
        <v>169</v>
      </c>
      <c r="H27" s="3" t="str">
        <f t="shared" si="3"/>
        <v>Không đạt</v>
      </c>
      <c r="I27" s="3">
        <v>11.38</v>
      </c>
      <c r="J27" s="3" t="str">
        <f t="shared" si="4"/>
        <v>Tốt</v>
      </c>
      <c r="K27" s="3">
        <v>5.26</v>
      </c>
      <c r="L27" s="3" t="str">
        <f t="shared" si="0"/>
        <v>Đạt</v>
      </c>
      <c r="M27" s="3">
        <v>1032</v>
      </c>
      <c r="N27" s="3" t="str">
        <f t="shared" si="1"/>
        <v>Đạt</v>
      </c>
      <c r="O27" s="3" t="str">
        <f t="shared" si="2"/>
        <v>Chưa đạt</v>
      </c>
    </row>
    <row r="28" spans="1:15" ht="20.45" customHeight="1" x14ac:dyDescent="0.25">
      <c r="A28" s="6">
        <v>24</v>
      </c>
      <c r="B28" s="5" t="s">
        <v>36</v>
      </c>
      <c r="C28" s="5" t="s">
        <v>35</v>
      </c>
      <c r="D28" s="5" t="s">
        <v>3</v>
      </c>
      <c r="E28" s="3" t="s">
        <v>91</v>
      </c>
      <c r="F28" s="3"/>
      <c r="G28" s="3">
        <v>198</v>
      </c>
      <c r="H28" s="3" t="str">
        <f t="shared" si="3"/>
        <v>Không đạt</v>
      </c>
      <c r="I28" s="3">
        <v>11.59</v>
      </c>
      <c r="J28" s="3" t="str">
        <f t="shared" si="4"/>
        <v>Tốt</v>
      </c>
      <c r="K28" s="3">
        <v>5.32</v>
      </c>
      <c r="L28" s="3" t="str">
        <f t="shared" si="0"/>
        <v>Đạt</v>
      </c>
      <c r="M28" s="3">
        <v>1145</v>
      </c>
      <c r="N28" s="3" t="str">
        <f t="shared" si="1"/>
        <v>Tốt</v>
      </c>
      <c r="O28" s="3" t="str">
        <f t="shared" si="2"/>
        <v>Chưa đạt</v>
      </c>
    </row>
    <row r="29" spans="1:15" ht="20.45" customHeight="1" x14ac:dyDescent="0.25">
      <c r="A29" s="6">
        <v>25</v>
      </c>
      <c r="B29" s="5" t="s">
        <v>34</v>
      </c>
      <c r="C29" s="5" t="s">
        <v>33</v>
      </c>
      <c r="D29" s="5" t="s">
        <v>3</v>
      </c>
      <c r="E29" s="3" t="s">
        <v>91</v>
      </c>
      <c r="F29" s="3"/>
      <c r="G29" s="3">
        <v>214</v>
      </c>
      <c r="H29" s="3" t="str">
        <f t="shared" si="3"/>
        <v>Đạt</v>
      </c>
      <c r="I29" s="3">
        <v>11</v>
      </c>
      <c r="J29" s="3" t="str">
        <f t="shared" si="4"/>
        <v>Tốt</v>
      </c>
      <c r="K29" s="3">
        <v>5.08</v>
      </c>
      <c r="L29" s="3" t="str">
        <f t="shared" si="0"/>
        <v>Đạt</v>
      </c>
      <c r="M29" s="3">
        <v>1108</v>
      </c>
      <c r="N29" s="3" t="str">
        <f t="shared" si="1"/>
        <v>Tốt</v>
      </c>
      <c r="O29" s="3" t="str">
        <f t="shared" si="2"/>
        <v>Đạt</v>
      </c>
    </row>
    <row r="30" spans="1:15" ht="20.45" customHeight="1" x14ac:dyDescent="0.25">
      <c r="A30" s="6">
        <v>26</v>
      </c>
      <c r="B30" s="5" t="s">
        <v>32</v>
      </c>
      <c r="C30" s="5" t="s">
        <v>29</v>
      </c>
      <c r="D30" s="5" t="s">
        <v>3</v>
      </c>
      <c r="E30" s="3" t="s">
        <v>91</v>
      </c>
      <c r="F30" s="3"/>
      <c r="G30" s="3">
        <v>226</v>
      </c>
      <c r="H30" s="3" t="str">
        <f t="shared" si="3"/>
        <v>Tốt</v>
      </c>
      <c r="I30" s="3">
        <v>10.94</v>
      </c>
      <c r="J30" s="3" t="str">
        <f t="shared" si="4"/>
        <v>Tốt</v>
      </c>
      <c r="K30" s="3">
        <v>5.08</v>
      </c>
      <c r="L30" s="3" t="str">
        <f t="shared" si="0"/>
        <v>Đạt</v>
      </c>
      <c r="M30" s="3">
        <v>958</v>
      </c>
      <c r="N30" s="3" t="str">
        <f t="shared" si="1"/>
        <v>Đạt</v>
      </c>
      <c r="O30" s="3" t="str">
        <f t="shared" si="2"/>
        <v>Đạt</v>
      </c>
    </row>
    <row r="31" spans="1:15" ht="20.45" customHeight="1" x14ac:dyDescent="0.25">
      <c r="A31" s="6">
        <v>27</v>
      </c>
      <c r="B31" s="5" t="s">
        <v>31</v>
      </c>
      <c r="C31" s="5" t="s">
        <v>29</v>
      </c>
      <c r="D31" s="5" t="s">
        <v>3</v>
      </c>
      <c r="E31" s="3" t="s">
        <v>91</v>
      </c>
      <c r="F31" s="3"/>
      <c r="G31" s="3">
        <v>227</v>
      </c>
      <c r="H31" s="3" t="str">
        <f t="shared" si="3"/>
        <v>Tốt</v>
      </c>
      <c r="I31" s="3">
        <v>10.94</v>
      </c>
      <c r="J31" s="3" t="str">
        <f t="shared" si="4"/>
        <v>Tốt</v>
      </c>
      <c r="K31" s="3">
        <v>4.45</v>
      </c>
      <c r="L31" s="3" t="str">
        <f t="shared" si="0"/>
        <v>Tốt</v>
      </c>
      <c r="M31" s="3">
        <v>1001</v>
      </c>
      <c r="N31" s="3" t="str">
        <f t="shared" si="1"/>
        <v>Đạt</v>
      </c>
      <c r="O31" s="3" t="str">
        <f t="shared" si="2"/>
        <v>Tốt</v>
      </c>
    </row>
    <row r="32" spans="1:15" ht="20.45" customHeight="1" x14ac:dyDescent="0.25">
      <c r="A32" s="6">
        <v>28</v>
      </c>
      <c r="B32" s="5" t="s">
        <v>30</v>
      </c>
      <c r="C32" s="5" t="s">
        <v>29</v>
      </c>
      <c r="D32" s="5" t="s">
        <v>3</v>
      </c>
      <c r="E32" s="3" t="s">
        <v>91</v>
      </c>
      <c r="F32" s="3"/>
      <c r="G32" s="3">
        <v>227</v>
      </c>
      <c r="H32" s="3" t="str">
        <f t="shared" si="3"/>
        <v>Tốt</v>
      </c>
      <c r="I32" s="3">
        <v>11</v>
      </c>
      <c r="J32" s="3" t="str">
        <f t="shared" si="4"/>
        <v>Tốt</v>
      </c>
      <c r="K32" s="3">
        <v>5.26</v>
      </c>
      <c r="L32" s="3" t="str">
        <f t="shared" si="0"/>
        <v>Đạt</v>
      </c>
      <c r="M32" s="3">
        <v>1072</v>
      </c>
      <c r="N32" s="3" t="str">
        <f t="shared" si="1"/>
        <v>Tốt</v>
      </c>
      <c r="O32" s="3" t="str">
        <f t="shared" si="2"/>
        <v>Tốt</v>
      </c>
    </row>
    <row r="33" spans="1:15" ht="20.45" customHeight="1" x14ac:dyDescent="0.25">
      <c r="A33" s="6">
        <v>29</v>
      </c>
      <c r="B33" s="5" t="s">
        <v>28</v>
      </c>
      <c r="C33" s="5" t="s">
        <v>27</v>
      </c>
      <c r="D33" s="5" t="s">
        <v>3</v>
      </c>
      <c r="E33" s="3"/>
      <c r="F33" s="3" t="s">
        <v>91</v>
      </c>
      <c r="G33" s="3">
        <v>162</v>
      </c>
      <c r="H33" s="3" t="str">
        <f t="shared" si="3"/>
        <v>Đạt</v>
      </c>
      <c r="I33" s="3">
        <v>11.6</v>
      </c>
      <c r="J33" s="3" t="str">
        <f t="shared" si="4"/>
        <v>Tốt</v>
      </c>
      <c r="K33" s="3">
        <v>6.44</v>
      </c>
      <c r="L33" s="3" t="str">
        <f t="shared" si="0"/>
        <v>Đạt</v>
      </c>
      <c r="M33" s="3">
        <v>860</v>
      </c>
      <c r="N33" s="3" t="str">
        <f t="shared" si="1"/>
        <v>Đạt</v>
      </c>
      <c r="O33" s="3" t="str">
        <f t="shared" si="2"/>
        <v>Đạt</v>
      </c>
    </row>
    <row r="34" spans="1:15" ht="20.45" customHeight="1" x14ac:dyDescent="0.25">
      <c r="A34" s="6">
        <v>30</v>
      </c>
      <c r="B34" s="5" t="s">
        <v>26</v>
      </c>
      <c r="C34" s="5" t="s">
        <v>25</v>
      </c>
      <c r="D34" s="5" t="s">
        <v>3</v>
      </c>
      <c r="E34" s="3" t="s">
        <v>91</v>
      </c>
      <c r="F34" s="3"/>
      <c r="G34" s="3">
        <v>204</v>
      </c>
      <c r="H34" s="3" t="str">
        <f t="shared" si="3"/>
        <v>Không đạt</v>
      </c>
      <c r="I34" s="3">
        <v>11.5</v>
      </c>
      <c r="J34" s="3" t="str">
        <f t="shared" si="4"/>
        <v>Tốt</v>
      </c>
      <c r="K34" s="3">
        <v>4.87</v>
      </c>
      <c r="L34" s="3" t="str">
        <f t="shared" si="0"/>
        <v>Đạt</v>
      </c>
      <c r="M34" s="3">
        <v>992</v>
      </c>
      <c r="N34" s="3" t="str">
        <f t="shared" si="1"/>
        <v>Đạt</v>
      </c>
      <c r="O34" s="3" t="str">
        <f t="shared" si="2"/>
        <v>Chưa đạt</v>
      </c>
    </row>
    <row r="35" spans="1:15" ht="20.45" customHeight="1" x14ac:dyDescent="0.25">
      <c r="A35" s="6">
        <v>31</v>
      </c>
      <c r="B35" s="5" t="s">
        <v>21</v>
      </c>
      <c r="C35" s="5" t="s">
        <v>24</v>
      </c>
      <c r="D35" s="5" t="s">
        <v>3</v>
      </c>
      <c r="E35" s="3" t="s">
        <v>91</v>
      </c>
      <c r="F35" s="3"/>
      <c r="G35" s="3">
        <v>219</v>
      </c>
      <c r="H35" s="3" t="str">
        <f t="shared" si="3"/>
        <v>Đạt</v>
      </c>
      <c r="I35" s="3">
        <v>10.63</v>
      </c>
      <c r="J35" s="3" t="str">
        <f t="shared" si="4"/>
        <v>Tốt</v>
      </c>
      <c r="K35" s="3">
        <v>4.75</v>
      </c>
      <c r="L35" s="3" t="str">
        <f t="shared" si="0"/>
        <v>Tốt</v>
      </c>
      <c r="M35" s="3">
        <v>1183</v>
      </c>
      <c r="N35" s="3" t="str">
        <f t="shared" si="1"/>
        <v>Tốt</v>
      </c>
      <c r="O35" s="3" t="str">
        <f t="shared" si="2"/>
        <v>Tốt</v>
      </c>
    </row>
    <row r="36" spans="1:15" ht="20.45" customHeight="1" x14ac:dyDescent="0.25">
      <c r="A36" s="6">
        <v>32</v>
      </c>
      <c r="B36" s="5" t="s">
        <v>23</v>
      </c>
      <c r="C36" s="5" t="s">
        <v>22</v>
      </c>
      <c r="D36" s="5" t="s">
        <v>3</v>
      </c>
      <c r="E36" s="3" t="s">
        <v>91</v>
      </c>
      <c r="F36" s="3"/>
      <c r="G36" s="3">
        <v>207</v>
      </c>
      <c r="H36" s="3" t="str">
        <f t="shared" si="3"/>
        <v>Đạt</v>
      </c>
      <c r="I36" s="3">
        <v>10.32</v>
      </c>
      <c r="J36" s="3" t="str">
        <f t="shared" si="4"/>
        <v>Tốt</v>
      </c>
      <c r="K36" s="3">
        <v>4.75</v>
      </c>
      <c r="L36" s="3" t="str">
        <f t="shared" si="0"/>
        <v>Tốt</v>
      </c>
      <c r="M36" s="3">
        <v>1056</v>
      </c>
      <c r="N36" s="3" t="str">
        <f t="shared" si="1"/>
        <v>Tốt</v>
      </c>
      <c r="O36" s="3" t="str">
        <f t="shared" si="2"/>
        <v>Tốt</v>
      </c>
    </row>
    <row r="37" spans="1:15" ht="20.45" customHeight="1" x14ac:dyDescent="0.25">
      <c r="A37" s="6">
        <v>33</v>
      </c>
      <c r="B37" s="5" t="s">
        <v>21</v>
      </c>
      <c r="C37" s="5" t="s">
        <v>20</v>
      </c>
      <c r="D37" s="5" t="s">
        <v>3</v>
      </c>
      <c r="E37" s="3" t="s">
        <v>91</v>
      </c>
      <c r="F37" s="3"/>
      <c r="G37" s="3">
        <v>204</v>
      </c>
      <c r="H37" s="3" t="str">
        <f t="shared" si="3"/>
        <v>Không đạt</v>
      </c>
      <c r="I37" s="3">
        <v>10.33</v>
      </c>
      <c r="J37" s="3" t="str">
        <f t="shared" si="4"/>
        <v>Tốt</v>
      </c>
      <c r="K37" s="3">
        <v>4.87</v>
      </c>
      <c r="L37" s="3" t="str">
        <f t="shared" si="0"/>
        <v>Đạt</v>
      </c>
      <c r="M37" s="3">
        <v>1153</v>
      </c>
      <c r="N37" s="3" t="str">
        <f t="shared" si="1"/>
        <v>Tốt</v>
      </c>
      <c r="O37" s="3" t="str">
        <f t="shared" si="2"/>
        <v>Chưa đạt</v>
      </c>
    </row>
    <row r="38" spans="1:15" ht="20.45" customHeight="1" x14ac:dyDescent="0.25">
      <c r="A38" s="6">
        <v>34</v>
      </c>
      <c r="B38" s="5" t="s">
        <v>19</v>
      </c>
      <c r="C38" s="5" t="s">
        <v>18</v>
      </c>
      <c r="D38" s="5" t="s">
        <v>3</v>
      </c>
      <c r="E38" s="3" t="s">
        <v>91</v>
      </c>
      <c r="F38" s="3"/>
      <c r="G38" s="3">
        <v>220</v>
      </c>
      <c r="H38" s="3" t="str">
        <f t="shared" si="3"/>
        <v>Đạt</v>
      </c>
      <c r="I38" s="3">
        <v>10.36</v>
      </c>
      <c r="J38" s="3" t="str">
        <f t="shared" si="4"/>
        <v>Tốt</v>
      </c>
      <c r="K38" s="3">
        <v>4.3</v>
      </c>
      <c r="L38" s="3" t="str">
        <f t="shared" si="0"/>
        <v>Tốt</v>
      </c>
      <c r="M38" s="3">
        <v>980</v>
      </c>
      <c r="N38" s="3" t="str">
        <f t="shared" si="1"/>
        <v>Đạt</v>
      </c>
      <c r="O38" s="3" t="str">
        <f t="shared" si="2"/>
        <v>Đạt</v>
      </c>
    </row>
    <row r="39" spans="1:15" ht="20.45" customHeight="1" x14ac:dyDescent="0.25">
      <c r="A39" s="6">
        <v>35</v>
      </c>
      <c r="B39" s="5" t="s">
        <v>17</v>
      </c>
      <c r="C39" s="5" t="s">
        <v>16</v>
      </c>
      <c r="D39" s="5" t="s">
        <v>3</v>
      </c>
      <c r="E39" s="3"/>
      <c r="F39" s="3" t="s">
        <v>91</v>
      </c>
      <c r="G39" s="3">
        <v>160</v>
      </c>
      <c r="H39" s="3" t="str">
        <f t="shared" si="3"/>
        <v>Đạt</v>
      </c>
      <c r="I39" s="3">
        <v>12.2</v>
      </c>
      <c r="J39" s="3" t="str">
        <f t="shared" si="4"/>
        <v>Đạt</v>
      </c>
      <c r="K39" s="3">
        <v>6.07</v>
      </c>
      <c r="L39" s="3" t="str">
        <f t="shared" si="0"/>
        <v>Đạt</v>
      </c>
      <c r="M39" s="3">
        <v>913</v>
      </c>
      <c r="N39" s="3" t="str">
        <f t="shared" si="1"/>
        <v>Đạt</v>
      </c>
      <c r="O39" s="3" t="str">
        <f t="shared" si="2"/>
        <v>Đạt</v>
      </c>
    </row>
    <row r="40" spans="1:15" ht="20.45" customHeight="1" x14ac:dyDescent="0.25">
      <c r="A40" s="6">
        <v>36</v>
      </c>
      <c r="B40" s="5" t="s">
        <v>15</v>
      </c>
      <c r="C40" s="5" t="s">
        <v>14</v>
      </c>
      <c r="D40" s="5" t="s">
        <v>3</v>
      </c>
      <c r="E40" s="3" t="s">
        <v>91</v>
      </c>
      <c r="F40" s="3"/>
      <c r="G40" s="3">
        <v>220</v>
      </c>
      <c r="H40" s="3" t="str">
        <f t="shared" si="3"/>
        <v>Đạt</v>
      </c>
      <c r="I40" s="3">
        <v>10.63</v>
      </c>
      <c r="J40" s="3" t="str">
        <f t="shared" si="4"/>
        <v>Tốt</v>
      </c>
      <c r="K40" s="3">
        <v>4.59</v>
      </c>
      <c r="L40" s="3" t="str">
        <f t="shared" si="0"/>
        <v>Tốt</v>
      </c>
      <c r="M40" s="3">
        <v>1112</v>
      </c>
      <c r="N40" s="3" t="str">
        <f t="shared" si="1"/>
        <v>Tốt</v>
      </c>
      <c r="O40" s="3" t="str">
        <f t="shared" si="2"/>
        <v>Tốt</v>
      </c>
    </row>
    <row r="41" spans="1:15" ht="20.45" customHeight="1" x14ac:dyDescent="0.25">
      <c r="A41" s="6">
        <v>37</v>
      </c>
      <c r="B41" s="5" t="s">
        <v>13</v>
      </c>
      <c r="C41" s="5" t="s">
        <v>12</v>
      </c>
      <c r="D41" s="5" t="s">
        <v>3</v>
      </c>
      <c r="E41" s="3" t="s">
        <v>91</v>
      </c>
      <c r="F41" s="3"/>
      <c r="G41" s="3">
        <v>231</v>
      </c>
      <c r="H41" s="3" t="str">
        <f t="shared" si="3"/>
        <v>Tốt</v>
      </c>
      <c r="I41" s="3">
        <v>10.01</v>
      </c>
      <c r="J41" s="3" t="str">
        <f t="shared" si="4"/>
        <v>Tốt</v>
      </c>
      <c r="K41" s="3">
        <v>4.32</v>
      </c>
      <c r="L41" s="3" t="str">
        <f t="shared" si="0"/>
        <v>Tốt</v>
      </c>
      <c r="M41" s="3">
        <v>993</v>
      </c>
      <c r="N41" s="3" t="str">
        <f t="shared" si="1"/>
        <v>Đạt</v>
      </c>
      <c r="O41" s="3" t="str">
        <f t="shared" si="2"/>
        <v>Tốt</v>
      </c>
    </row>
    <row r="42" spans="1:15" ht="20.45" customHeight="1" x14ac:dyDescent="0.25">
      <c r="A42" s="6">
        <v>38</v>
      </c>
      <c r="B42" s="5" t="s">
        <v>11</v>
      </c>
      <c r="C42" s="5" t="s">
        <v>10</v>
      </c>
      <c r="D42" s="5" t="s">
        <v>3</v>
      </c>
      <c r="E42" s="3"/>
      <c r="F42" s="3" t="s">
        <v>91</v>
      </c>
      <c r="G42" s="3">
        <v>160</v>
      </c>
      <c r="H42" s="3" t="str">
        <f t="shared" si="3"/>
        <v>Đạt</v>
      </c>
      <c r="I42" s="3">
        <v>11.5</v>
      </c>
      <c r="J42" s="3" t="str">
        <f t="shared" si="4"/>
        <v>Tốt</v>
      </c>
      <c r="K42" s="3">
        <v>5.2</v>
      </c>
      <c r="L42" s="3" t="str">
        <f t="shared" si="0"/>
        <v>Tốt</v>
      </c>
      <c r="M42" s="3">
        <v>910</v>
      </c>
      <c r="N42" s="3" t="str">
        <f t="shared" si="1"/>
        <v>Đạt</v>
      </c>
      <c r="O42" s="3" t="str">
        <f t="shared" si="2"/>
        <v>Đạt</v>
      </c>
    </row>
    <row r="43" spans="1:15" ht="20.45" customHeight="1" x14ac:dyDescent="0.25">
      <c r="A43" s="6">
        <v>39</v>
      </c>
      <c r="B43" s="5" t="s">
        <v>9</v>
      </c>
      <c r="C43" s="5" t="s">
        <v>8</v>
      </c>
      <c r="D43" s="5" t="s">
        <v>3</v>
      </c>
      <c r="E43" s="3" t="s">
        <v>91</v>
      </c>
      <c r="F43" s="3"/>
      <c r="G43" s="3">
        <v>188</v>
      </c>
      <c r="H43" s="3" t="str">
        <f t="shared" si="3"/>
        <v>Không đạt</v>
      </c>
      <c r="I43" s="3">
        <v>11.13</v>
      </c>
      <c r="J43" s="3" t="str">
        <f t="shared" si="4"/>
        <v>Tốt</v>
      </c>
      <c r="K43" s="3">
        <v>5.2</v>
      </c>
      <c r="L43" s="3" t="str">
        <f t="shared" si="0"/>
        <v>Đạt</v>
      </c>
      <c r="M43" s="3">
        <v>966</v>
      </c>
      <c r="N43" s="3" t="str">
        <f t="shared" si="1"/>
        <v>Đạt</v>
      </c>
      <c r="O43" s="3" t="str">
        <f t="shared" si="2"/>
        <v>Chưa đạt</v>
      </c>
    </row>
    <row r="44" spans="1:15" ht="20.45" customHeight="1" x14ac:dyDescent="0.25">
      <c r="A44" s="6">
        <v>40</v>
      </c>
      <c r="B44" s="5" t="s">
        <v>7</v>
      </c>
      <c r="C44" s="5" t="s">
        <v>6</v>
      </c>
      <c r="D44" s="5" t="s">
        <v>3</v>
      </c>
      <c r="E44" s="3" t="s">
        <v>91</v>
      </c>
      <c r="F44" s="3"/>
      <c r="G44" s="3">
        <v>210</v>
      </c>
      <c r="H44" s="3" t="str">
        <f t="shared" si="3"/>
        <v>Đạt</v>
      </c>
      <c r="I44" s="3">
        <v>10.81</v>
      </c>
      <c r="J44" s="3" t="str">
        <f t="shared" si="4"/>
        <v>Tốt</v>
      </c>
      <c r="K44" s="3">
        <v>4.75</v>
      </c>
      <c r="L44" s="3" t="str">
        <f t="shared" si="0"/>
        <v>Tốt</v>
      </c>
      <c r="M44" s="3">
        <v>1128</v>
      </c>
      <c r="N44" s="3" t="str">
        <f t="shared" si="1"/>
        <v>Tốt</v>
      </c>
      <c r="O44" s="3" t="str">
        <f t="shared" si="2"/>
        <v>Tốt</v>
      </c>
    </row>
    <row r="45" spans="1:15" ht="20.45" customHeight="1" x14ac:dyDescent="0.25">
      <c r="A45" s="6">
        <v>41</v>
      </c>
      <c r="B45" s="5" t="s">
        <v>5</v>
      </c>
      <c r="C45" s="5" t="s">
        <v>4</v>
      </c>
      <c r="D45" s="5" t="s">
        <v>3</v>
      </c>
      <c r="E45" s="3" t="s">
        <v>91</v>
      </c>
      <c r="F45" s="3"/>
      <c r="G45" s="3">
        <v>231</v>
      </c>
      <c r="H45" s="3" t="str">
        <f t="shared" si="3"/>
        <v>Tốt</v>
      </c>
      <c r="I45" s="3">
        <v>10.5</v>
      </c>
      <c r="J45" s="3" t="str">
        <f t="shared" si="4"/>
        <v>Tốt</v>
      </c>
      <c r="K45" s="3">
        <v>4.2</v>
      </c>
      <c r="L45" s="3" t="str">
        <f t="shared" si="0"/>
        <v>Tốt</v>
      </c>
      <c r="M45" s="3">
        <v>1010</v>
      </c>
      <c r="N45" s="3" t="str">
        <f t="shared" si="1"/>
        <v>Đạt</v>
      </c>
      <c r="O45" s="3" t="str">
        <f t="shared" si="2"/>
        <v>Tốt</v>
      </c>
    </row>
    <row r="46" spans="1:15" ht="20.45" customHeight="1" x14ac:dyDescent="0.25">
      <c r="A46" s="4"/>
      <c r="B46" s="4"/>
      <c r="C46" s="4"/>
      <c r="D46" s="4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</row>
    <row r="47" spans="1:15" ht="20.45" customHeight="1" x14ac:dyDescent="0.25">
      <c r="A47" s="4"/>
      <c r="B47" s="4"/>
      <c r="C47" s="4"/>
      <c r="D47" s="4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</row>
    <row r="51" spans="13:15" x14ac:dyDescent="0.25">
      <c r="M51" s="3" t="s">
        <v>2</v>
      </c>
      <c r="N51" s="3" t="s">
        <v>1</v>
      </c>
      <c r="O51" s="3" t="s">
        <v>0</v>
      </c>
    </row>
    <row r="52" spans="13:15" x14ac:dyDescent="0.25">
      <c r="M52" s="3">
        <f>COUNTIF(O5:O45,"Tốt")</f>
        <v>12</v>
      </c>
      <c r="N52" s="3">
        <f>COUNTIF(O5:O45,"Đạt")</f>
        <v>14</v>
      </c>
      <c r="O52" s="3">
        <f>COUNTIF(O5:O45,"Chưa đạt")</f>
        <v>15</v>
      </c>
    </row>
  </sheetData>
  <mergeCells count="11">
    <mergeCell ref="M3:N3"/>
    <mergeCell ref="O3:O4"/>
    <mergeCell ref="A2:O2"/>
    <mergeCell ref="A3:A4"/>
    <mergeCell ref="B3:B4"/>
    <mergeCell ref="C3:C4"/>
    <mergeCell ref="D3:D4"/>
    <mergeCell ref="E3:F3"/>
    <mergeCell ref="G3:H3"/>
    <mergeCell ref="I3:J3"/>
    <mergeCell ref="K3:L3"/>
  </mergeCells>
  <pageMargins left="0" right="0" top="0.25" bottom="0.2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CE9A9-654E-4378-9E0A-EAF163D9AE1F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Nhóm 64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Truong Duy Dat [HS]</cp:lastModifiedBy>
  <dcterms:created xsi:type="dcterms:W3CDTF">2025-04-12T05:17:47Z</dcterms:created>
  <dcterms:modified xsi:type="dcterms:W3CDTF">2025-05-11T04:46:21Z</dcterms:modified>
</cp:coreProperties>
</file>